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9d59d0832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阈值时间" sheetId="1" r:id="Rcde47ddf49234dff"/>
    <x:sheet xmlns:r="http://schemas.openxmlformats.org/officeDocument/2006/relationships" name="边界敏感性" sheetId="2" r:id="R730d54ecba25447b"/>
    <x:sheet xmlns:r="http://schemas.openxmlformats.org/officeDocument/2006/relationships" name="数值验证" sheetId="3" r:id="R51a30584f413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"/>
    <x:numFmt numFmtId="203" formatCode="0.000000"/>
    <x:numFmt numFmtId="204" formatCode="0.0000"/>
  </x:numFmts>
  <x:fonts count="3">
    <x:font>
      <x:sz val="11"/>
      <x:name val="Carlito"/>
    </x:font>
    <x:font>
      <x:sz val="10"/>
      <x:color rgb="FF333333"/>
      <x:name val="Times New Roman"/>
    </x:font>
    <x:font>
      <x:b/>
      <x:sz val="10"/>
      <x:color rgb="FFFFFFFF"/>
      <x:name val="SimSun"/>
    </x:font>
  </x:fonts>
  <x:fills count="6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EAF3FF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333333"/>
      </x:left>
      <x:top style="thin">
        <x:color rgb="FF333333"/>
      </x:top>
      <x:bottom style="thin">
        <x:color rgb="FF333333"/>
      </x:bottom>
    </x:border>
    <x:border>
      <x:top style="thin">
        <x:color rgb="FF333333"/>
      </x:top>
      <x:bottom style="thin">
        <x:color rgb="FF333333"/>
      </x:bottom>
    </x:border>
    <x:border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201" fontId="1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200" fontId="1" fillId="5" borderId="4" xfId="0" applyNumberFormat="1" applyFont="1" applyFill="1" applyBorder="1" applyAlignment="1">
      <x:alignment vertical="center"/>
    </x:xf>
    <x:xf numFmtId="201" fontId="1" fillId="5" borderId="4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3" borderId="4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4" borderId="4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4" fontId="1" fillId="3" borderId="4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3" fontId="1" fillId="5" borderId="4" xfId="0" applyNumberFormat="1" applyFont="1" applyFill="1" applyBorder="1" applyAlignment="1">
      <x:alignment vertical="center"/>
    </x:xf>
    <x:xf numFmtId="204" fontId="1" fillId="5" borderId="4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3" fontId="1" fillId="4" borderId="4" xfId="0" applyNumberFormat="1" applyFont="1" applyFill="1" applyBorder="1" applyAlignment="1">
      <x:alignment vertical="center"/>
    </x:xf>
    <x:xf numFmtId="204" fontId="1" fillId="4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173a276af4c9b" /><Relationship Type="http://schemas.openxmlformats.org/officeDocument/2006/relationships/theme" Target="/xl/theme/theme1.xml" Id="R8b4041f3154c48e7" /><Relationship Type="http://schemas.openxmlformats.org/officeDocument/2006/relationships/sharedStrings" Target="/xl/sharedStrings.xml" Id="R0a3f22acac4c4490" /><Relationship Type="http://schemas.openxmlformats.org/officeDocument/2006/relationships/worksheet" Target="/xl/worksheets/sheet1.xml" Id="Rcde47ddf49234dff" /><Relationship Type="http://schemas.openxmlformats.org/officeDocument/2006/relationships/worksheet" Target="/xl/worksheets/sheet2.xml" Id="R730d54ecba25447b" /><Relationship Type="http://schemas.openxmlformats.org/officeDocument/2006/relationships/worksheet" Target="/xl/worksheets/sheet3.xml" Id="R51a30584f4134ad1" /></Relationships>
</file>

<file path=xl/tables/table1.xml><?xml version="1.0" encoding="utf-8"?>
<x:table xmlns:x="http://schemas.openxmlformats.org/spreadsheetml/2006/main" id="1" name="ThresholdData" displayName="ThresholdData" ref="A1:H10" headerRowCount="1" totalsRowCount="0" totalsRowShown="0">
  <x:tableColumns count="8">
    <x:tableColumn id="1" name="类别"/>
    <x:tableColumn id="2" name="β_DSC（K/min）"/>
    <x:tableColumn id="3" name="外对流模型"/>
    <x:tableColumn id="4" name="h_e（W/(m²·K)）"/>
    <x:tableColumn id="5" name="t15（s）"/>
    <x:tableColumn id="6" name="t10（s）"/>
    <x:tableColumn id="7" name="阈值间隔（s）"/>
    <x:tableColumn id="8" name="模型层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nsitivityData" displayName="SensitivityData" ref="A1:J10" headerRowCount="1" totalsRowCount="0" totalsRowShown="0">
  <x:tableColumns count="10">
    <x:tableColumn id="1" name="类别"/>
    <x:tableColumn id="2" name="β_DSC（K/min）"/>
    <x:tableColumn id="3" name="外对流模型"/>
    <x:tableColumn id="4" name="t15（s）"/>
    <x:tableColumn id="5" name="ISO基准t15（s）"/>
    <x:tableColumn id="6" name="t15相对ISO（%）"/>
    <x:tableColumn id="7" name="t10（s）"/>
    <x:tableColumn id="8" name="ISO基准t10（s）"/>
    <x:tableColumn id="9" name="t10相对ISO（%）"/>
    <x:tableColumn id="10" name="模型层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Data" displayName="ValidationData" ref="A1:N23" headerRowCount="1" totalsRowCount="0" totalsRowShown="0">
  <x:tableColumns count="14">
    <x:tableColumn id="1" name="分图"/>
    <x:tableColumn id="2" name="类别"/>
    <x:tableColumn id="3" name="设置"/>
    <x:tableColumn id="4" name="外对流模型"/>
    <x:tableColumn id="5" name="β_DSC（K/min）"/>
    <x:tableColumn id="6" name="阈值"/>
    <x:tableColumn id="7" name="模态时间（s）"/>
    <x:tableColumn id="8" name="FVM时间（s）"/>
    <x:tableColumn id="9" name="基准FVM（s）"/>
    <x:tableColumn id="10" name="模态-FVM差异（%）"/>
    <x:tableColumn id="11" name="加密变化（%）"/>
    <x:tableColumn id="12" name="加密幅值（%）"/>
    <x:tableColumn id="13" name="时间步（s）"/>
    <x:tableColumn id="14" name="每层网格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8dcf6a351248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5ee61abeae4f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993c047aea4d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8" hidden="0" customWidth="1"/>
    <x:col min="5" max="5" width="13" hidden="0" customWidth="1"/>
    <x:col min="6" max="6" width="13" hidden="0" customWidth="1"/>
    <x:col min="7" max="7" width="17" hidden="0" customWidth="1"/>
    <x:col min="8" max="8" width="12" hidden="0" customWidth="1"/>
  </x:cols>
  <x:sheetData>
    <x:row r="1" ht="38" customHeight="1">
      <x:c r="A1" s="17" t="str">
        <x:v>类别</x:v>
      </x:c>
      <x:c r="B1" s="18" t="str">
        <x:v>β_DSC（K/min）</x:v>
      </x:c>
      <x:c r="C1" s="18" t="str">
        <x:v>外对流模型</x:v>
      </x:c>
      <x:c r="D1" s="18" t="str">
        <x:v>h_e（W/(m²·K)）</x:v>
      </x:c>
      <x:c r="E1" s="18" t="str">
        <x:v>t15（s）</x:v>
      </x:c>
      <x:c r="F1" s="18" t="str">
        <x:v>t10（s）</x:v>
      </x:c>
      <x:c r="G1" s="18" t="str">
        <x:v>阈值间隔（s）</x:v>
      </x:c>
      <x:c r="H1" s="19" t="str">
        <x:v>模型层级</x:v>
      </x:c>
    </x:row>
    <x:row r="2" ht="22" customHeight="1">
      <x:c r="A2" s="23" t="str">
        <x:v>2 K/min · ISO简化</x:v>
      </x:c>
      <x:c r="B2" s="24" t="n">
        <x:v>2</x:v>
      </x:c>
      <x:c r="C2" s="23" t="str">
        <x:v>ISO 11079简化</x:v>
      </x:c>
      <x:c r="D2" s="25" t="n">
        <x:v>18.46</x:v>
      </x:c>
      <x:c r="E2" s="25" t="n">
        <x:v>192.02800925434013</x:v>
      </x:c>
      <x:c r="F2" s="25" t="n">
        <x:v>204.2621942219772</x:v>
      </x:c>
      <x:c r="G2" s="25" t="n">
        <x:f>F2-E2</x:f>
        <x:v>12.234184967637077</x:v>
      </x:c>
      <x:c r="H2" s="23" t="str">
        <x:v>主模型</x:v>
      </x:c>
    </x:row>
    <x:row r="3" ht="22" customHeight="1">
      <x:c r="A3" s="29" t="str">
        <x:v>2 K/min · 旧PMV</x:v>
      </x:c>
      <x:c r="B3" s="30" t="n">
        <x:v>2</x:v>
      </x:c>
      <x:c r="C3" s="29" t="str">
        <x:v>旧PMV关系</x:v>
      </x:c>
      <x:c r="D3" s="31" t="n">
        <x:v>20.957814771583415</x:v>
      </x:c>
      <x:c r="E3" s="31" t="n">
        <x:v>171.40334538516566</x:v>
      </x:c>
      <x:c r="F3" s="31" t="n">
        <x:v>182.2343143506236</x:v>
      </x:c>
      <x:c r="G3" s="31" t="n">
        <x:f>F3-E3</x:f>
        <x:v>10.830968965457942</x:v>
      </x:c>
      <x:c r="H3" s="29" t="str">
        <x:v>对照</x:v>
      </x:c>
    </x:row>
    <x:row r="4" ht="22" customHeight="1">
      <x:c r="A4" s="35" t="str">
        <x:v>2 K/min · Kuwabara</x:v>
      </x:c>
      <x:c r="B4" s="36" t="n">
        <x:v>2</x:v>
      </x:c>
      <x:c r="C4" s="35" t="str">
        <x:v>Kuwabara经验</x:v>
      </x:c>
      <x:c r="D4" s="37" t="n">
        <x:v>21.95</x:v>
      </x:c>
      <x:c r="E4" s="37" t="n">
        <x:v>164.57453631937474</x:v>
      </x:c>
      <x:c r="F4" s="37" t="n">
        <x:v>174.94580969640822</x:v>
      </x:c>
      <x:c r="G4" s="37" t="n">
        <x:f>F4-E4</x:f>
        <x:v>10.371273377033475</x:v>
      </x:c>
      <x:c r="H4" s="35" t="str">
        <x:v>对照</x:v>
      </x:c>
    </x:row>
    <x:row r="5" ht="22" customHeight="1">
      <x:c r="A5" s="23" t="str">
        <x:v>5 K/min · ISO简化</x:v>
      </x:c>
      <x:c r="B5" s="24" t="n">
        <x:v>5</x:v>
      </x:c>
      <x:c r="C5" s="23" t="str">
        <x:v>ISO 11079简化</x:v>
      </x:c>
      <x:c r="D5" s="25" t="n">
        <x:v>18.46</x:v>
      </x:c>
      <x:c r="E5" s="25" t="n">
        <x:v>103.4915847342144</x:v>
      </x:c>
      <x:c r="F5" s="25" t="n">
        <x:v>115.66576634720914</x:v>
      </x:c>
      <x:c r="G5" s="25" t="n">
        <x:f>F5-E5</x:f>
        <x:v>12.174181612994744</x:v>
      </x:c>
      <x:c r="H5" s="23" t="str">
        <x:v>主模型</x:v>
      </x:c>
    </x:row>
    <x:row r="6" ht="22" customHeight="1">
      <x:c r="A6" s="35" t="str">
        <x:v>5 K/min · 旧PMV</x:v>
      </x:c>
      <x:c r="B6" s="36" t="n">
        <x:v>5</x:v>
      </x:c>
      <x:c r="C6" s="35" t="str">
        <x:v>旧PMV关系</x:v>
      </x:c>
      <x:c r="D6" s="37" t="n">
        <x:v>20.957814771583415</x:v>
      </x:c>
      <x:c r="E6" s="37" t="n">
        <x:v>92.66957382252926</x:v>
      </x:c>
      <x:c r="F6" s="37" t="n">
        <x:v>103.43902829605813</x:v>
      </x:c>
      <x:c r="G6" s="37" t="n">
        <x:f>F6-E6</x:f>
        <x:v>10.769454473528867</x:v>
      </x:c>
      <x:c r="H6" s="35" t="str">
        <x:v>对照</x:v>
      </x:c>
    </x:row>
    <x:row r="7" ht="22" customHeight="1">
      <x:c r="A7" s="29" t="str">
        <x:v>5 K/min · Kuwabara</x:v>
      </x:c>
      <x:c r="B7" s="30" t="n">
        <x:v>5</x:v>
      </x:c>
      <x:c r="C7" s="29" t="str">
        <x:v>Kuwabara经验</x:v>
      </x:c>
      <x:c r="D7" s="31" t="n">
        <x:v>21.95</x:v>
      </x:c>
      <x:c r="E7" s="31" t="n">
        <x:v>89.08417426307342</x:v>
      </x:c>
      <x:c r="F7" s="31" t="n">
        <x:v>99.39347596584511</x:v>
      </x:c>
      <x:c r="G7" s="31" t="n">
        <x:f>F7-E7</x:f>
        <x:v>10.309301702771691</x:v>
      </x:c>
      <x:c r="H7" s="29" t="str">
        <x:v>对照</x:v>
      </x:c>
    </x:row>
    <x:row r="8" ht="22" customHeight="1">
      <x:c r="A8" s="23" t="str">
        <x:v>10 K/min · ISO简化</x:v>
      </x:c>
      <x:c r="B8" s="24" t="n">
        <x:v>10</x:v>
      </x:c>
      <x:c r="C8" s="23" t="str">
        <x:v>ISO 11079简化</x:v>
      </x:c>
      <x:c r="D8" s="25" t="n">
        <x:v>18.46</x:v>
      </x:c>
      <x:c r="E8" s="25" t="n">
        <x:v>74.03513620319117</x:v>
      </x:c>
      <x:c r="F8" s="25" t="n">
        <x:v>86.16747506666174</x:v>
      </x:c>
      <x:c r="G8" s="25" t="n">
        <x:f>F8-E8</x:f>
        <x:v>12.132338863470565</x:v>
      </x:c>
      <x:c r="H8" s="23" t="str">
        <x:v>主模型</x:v>
      </x:c>
    </x:row>
    <x:row r="9" ht="22" customHeight="1">
      <x:c r="A9" s="29" t="str">
        <x:v>10 K/min · 旧PMV</x:v>
      </x:c>
      <x:c r="B9" s="30" t="n">
        <x:v>10</x:v>
      </x:c>
      <x:c r="C9" s="29" t="str">
        <x:v>旧PMV关系</x:v>
      </x:c>
      <x:c r="D9" s="31" t="n">
        <x:v>20.957814771583415</x:v>
      </x:c>
      <x:c r="E9" s="31" t="n">
        <x:v>66.48136409550564</x:v>
      </x:c>
      <x:c r="F9" s="31" t="n">
        <x:v>77.20675453382569</x:v>
      </x:c>
      <x:c r="G9" s="31" t="n">
        <x:f>F9-E9</x:f>
        <x:v>10.725390438320048</x:v>
      </x:c>
      <x:c r="H9" s="29" t="str">
        <x:v>对照</x:v>
      </x:c>
    </x:row>
    <x:row r="10" ht="22" customHeight="1">
      <x:c r="A10" s="35" t="str">
        <x:v>10 K/min · Kuwabara</x:v>
      </x:c>
      <x:c r="B10" s="36" t="n">
        <x:v>10</x:v>
      </x:c>
      <x:c r="C10" s="35" t="str">
        <x:v>Kuwabara经验</x:v>
      </x:c>
      <x:c r="D10" s="37" t="n">
        <x:v>21.95</x:v>
      </x:c>
      <x:c r="E10" s="37" t="n">
        <x:v>63.97743273414523</x:v>
      </x:c>
      <x:c r="F10" s="37" t="n">
        <x:v>74.24189055798404</x:v>
      </x:c>
      <x:c r="G10" s="37" t="n">
        <x:f>F10-E10</x:f>
        <x:v>10.264457823838804</x:v>
      </x:c>
      <x:c r="H10" s="35" t="str">
        <x:v>对照</x:v>
      </x:c>
    </x:row>
  </x:sheetData>
  <x:pageMargins left="0.7" right="0.7" top="0.75" bottom="0.75" header="0.3" footer="0.3"/>
  <x:tableParts count="1">
    <x:tablePart xmlns:r="http://schemas.openxmlformats.org/officeDocument/2006/relationships" r:id="R878dcf6a351248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3" hidden="0" customWidth="1"/>
    <x:col min="5" max="5" width="18" hidden="0" customWidth="1"/>
    <x:col min="6" max="6" width="19" hidden="0" customWidth="1"/>
    <x:col min="7" max="7" width="13" hidden="0" customWidth="1"/>
    <x:col min="8" max="8" width="18" hidden="0" customWidth="1"/>
    <x:col min="9" max="9" width="19" hidden="0" customWidth="1"/>
    <x:col min="10" max="10" width="18" hidden="0" customWidth="1"/>
  </x:cols>
  <x:sheetData>
    <x:row r="1" ht="38" customHeight="1">
      <x:c r="A1" s="17" t="str">
        <x:v>类别</x:v>
      </x:c>
      <x:c r="B1" s="18" t="str">
        <x:v>β_DSC（K/min）</x:v>
      </x:c>
      <x:c r="C1" s="18" t="str">
        <x:v>外对流模型</x:v>
      </x:c>
      <x:c r="D1" s="18" t="str">
        <x:v>t15（s）</x:v>
      </x:c>
      <x:c r="E1" s="18" t="str">
        <x:v>ISO基准t15（s）</x:v>
      </x:c>
      <x:c r="F1" s="18" t="str">
        <x:v>t15相对ISO（%）</x:v>
      </x:c>
      <x:c r="G1" s="18" t="str">
        <x:v>t10（s）</x:v>
      </x:c>
      <x:c r="H1" s="18" t="str">
        <x:v>ISO基准t10（s）</x:v>
      </x:c>
      <x:c r="I1" s="18" t="str">
        <x:v>t10相对ISO（%）</x:v>
      </x:c>
      <x:c r="J1" s="19" t="str">
        <x:v>模型层级</x:v>
      </x:c>
    </x:row>
    <x:row r="2" ht="22" customHeight="1">
      <x:c r="A2" s="23" t="str">
        <x:v>2 K/min · ISO简化</x:v>
      </x:c>
      <x:c r="B2" s="24" t="n">
        <x:v>2</x:v>
      </x:c>
      <x:c r="C2" s="23" t="str">
        <x:v>ISO 11079简化</x:v>
      </x:c>
      <x:c r="D2" s="25" t="n">
        <x:v>192.02800925434013</x:v>
      </x:c>
      <x:c r="E2" s="25" t="n">
        <x:v>192.02800925434013</x:v>
      </x:c>
      <x:c r="F2" s="42" t="n">
        <x:f>(D2/E2-1)*100</x:f>
        <x:v>0</x:v>
      </x:c>
      <x:c r="G2" s="25" t="n">
        <x:v>204.2621942219772</x:v>
      </x:c>
      <x:c r="H2" s="25" t="n">
        <x:v>204.2621942219772</x:v>
      </x:c>
      <x:c r="I2" s="42" t="n">
        <x:f>(G2/H2-1)*100</x:f>
        <x:v>0</x:v>
      </x:c>
      <x:c r="J2" s="23" t="str">
        <x:v>主模型（零基准）</x:v>
      </x:c>
    </x:row>
    <x:row r="3" ht="22" customHeight="1">
      <x:c r="A3" s="29" t="str">
        <x:v>2 K/min · 旧PMV</x:v>
      </x:c>
      <x:c r="B3" s="30" t="n">
        <x:v>2</x:v>
      </x:c>
      <x:c r="C3" s="29" t="str">
        <x:v>旧PMV关系</x:v>
      </x:c>
      <x:c r="D3" s="31" t="n">
        <x:v>171.40334538516566</x:v>
      </x:c>
      <x:c r="E3" s="31" t="n">
        <x:v>192.02800925434013</x:v>
      </x:c>
      <x:c r="F3" s="44" t="n">
        <x:f>(D3/E3-1)*100</x:f>
        <x:v>-10.74044559919236</x:v>
      </x:c>
      <x:c r="G3" s="31" t="n">
        <x:v>182.2343143506236</x:v>
      </x:c>
      <x:c r="H3" s="31" t="n">
        <x:v>204.2621942219772</x:v>
      </x:c>
      <x:c r="I3" s="44" t="n">
        <x:f>(G3/H3-1)*100</x:f>
        <x:v>-10.784119868709197</x:v>
      </x:c>
      <x:c r="J3" s="29" t="str">
        <x:v>对照</x:v>
      </x:c>
    </x:row>
    <x:row r="4" ht="22" customHeight="1">
      <x:c r="A4" s="35" t="str">
        <x:v>2 K/min · Kuwabara</x:v>
      </x:c>
      <x:c r="B4" s="36" t="n">
        <x:v>2</x:v>
      </x:c>
      <x:c r="C4" s="35" t="str">
        <x:v>Kuwabara经验</x:v>
      </x:c>
      <x:c r="D4" s="37" t="n">
        <x:v>164.57453631937474</x:v>
      </x:c>
      <x:c r="E4" s="37" t="n">
        <x:v>192.02800925434013</x:v>
      </x:c>
      <x:c r="F4" s="46" t="n">
        <x:f>(D4/E4-1)*100</x:f>
        <x:v>-14.296598210630517</x:v>
      </x:c>
      <x:c r="G4" s="37" t="n">
        <x:v>174.94580969640822</x:v>
      </x:c>
      <x:c r="H4" s="37" t="n">
        <x:v>204.2621942219772</x:v>
      </x:c>
      <x:c r="I4" s="46" t="n">
        <x:f>(G4/H4-1)*100</x:f>
        <x:v>-14.352330169189354</x:v>
      </x:c>
      <x:c r="J4" s="35" t="str">
        <x:v>对照</x:v>
      </x:c>
    </x:row>
    <x:row r="5" ht="22" customHeight="1">
      <x:c r="A5" s="23" t="str">
        <x:v>5 K/min · ISO简化</x:v>
      </x:c>
      <x:c r="B5" s="24" t="n">
        <x:v>5</x:v>
      </x:c>
      <x:c r="C5" s="23" t="str">
        <x:v>ISO 11079简化</x:v>
      </x:c>
      <x:c r="D5" s="25" t="n">
        <x:v>103.4915847342144</x:v>
      </x:c>
      <x:c r="E5" s="25" t="n">
        <x:v>103.4915847342144</x:v>
      </x:c>
      <x:c r="F5" s="42" t="n">
        <x:f>(D5/E5-1)*100</x:f>
        <x:v>0</x:v>
      </x:c>
      <x:c r="G5" s="25" t="n">
        <x:v>115.66576634720914</x:v>
      </x:c>
      <x:c r="H5" s="25" t="n">
        <x:v>115.66576634720914</x:v>
      </x:c>
      <x:c r="I5" s="42" t="n">
        <x:f>(G5/H5-1)*100</x:f>
        <x:v>0</x:v>
      </x:c>
      <x:c r="J5" s="23" t="str">
        <x:v>主模型（零基准）</x:v>
      </x:c>
    </x:row>
    <x:row r="6" ht="22" customHeight="1">
      <x:c r="A6" s="35" t="str">
        <x:v>5 K/min · 旧PMV</x:v>
      </x:c>
      <x:c r="B6" s="36" t="n">
        <x:v>5</x:v>
      </x:c>
      <x:c r="C6" s="35" t="str">
        <x:v>旧PMV关系</x:v>
      </x:c>
      <x:c r="D6" s="37" t="n">
        <x:v>92.66957382252926</x:v>
      </x:c>
      <x:c r="E6" s="37" t="n">
        <x:v>103.4915847342144</x:v>
      </x:c>
      <x:c r="F6" s="46" t="n">
        <x:f>(D6/E6-1)*100</x:f>
        <x:v>-10.456899408273701</x:v>
      </x:c>
      <x:c r="G6" s="37" t="n">
        <x:v>103.43902829605813</x:v>
      </x:c>
      <x:c r="H6" s="37" t="n">
        <x:v>115.66576634720914</x:v>
      </x:c>
      <x:c r="I6" s="46" t="n">
        <x:f>(G6/H6-1)*100</x:f>
        <x:v>-10.5707491829937</x:v>
      </x:c>
      <x:c r="J6" s="35" t="str">
        <x:v>对照</x:v>
      </x:c>
    </x:row>
    <x:row r="7" ht="22" customHeight="1">
      <x:c r="A7" s="29" t="str">
        <x:v>5 K/min · Kuwabara</x:v>
      </x:c>
      <x:c r="B7" s="30" t="n">
        <x:v>5</x:v>
      </x:c>
      <x:c r="C7" s="29" t="str">
        <x:v>Kuwabara经验</x:v>
      </x:c>
      <x:c r="D7" s="31" t="n">
        <x:v>89.08417426307342</x:v>
      </x:c>
      <x:c r="E7" s="31" t="n">
        <x:v>103.4915847342144</x:v>
      </x:c>
      <x:c r="F7" s="44" t="n">
        <x:f>(D7/E7-1)*100</x:f>
        <x:v>-13.921335254592805</x:v>
      </x:c>
      <x:c r="G7" s="31" t="n">
        <x:v>99.39347596584511</x:v>
      </x:c>
      <x:c r="H7" s="31" t="n">
        <x:v>115.66576634720914</x:v>
      </x:c>
      <x:c r="I7" s="44" t="n">
        <x:f>(G7/H7-1)*100</x:f>
        <x:v>-14.068372082122693</x:v>
      </x:c>
      <x:c r="J7" s="29" t="str">
        <x:v>对照</x:v>
      </x:c>
    </x:row>
    <x:row r="8" ht="22" customHeight="1">
      <x:c r="A8" s="23" t="str">
        <x:v>10 K/min · ISO简化</x:v>
      </x:c>
      <x:c r="B8" s="24" t="n">
        <x:v>10</x:v>
      </x:c>
      <x:c r="C8" s="23" t="str">
        <x:v>ISO 11079简化</x:v>
      </x:c>
      <x:c r="D8" s="25" t="n">
        <x:v>74.03513620319117</x:v>
      </x:c>
      <x:c r="E8" s="25" t="n">
        <x:v>74.03513620319117</x:v>
      </x:c>
      <x:c r="F8" s="42" t="n">
        <x:f>(D8/E8-1)*100</x:f>
        <x:v>0</x:v>
      </x:c>
      <x:c r="G8" s="25" t="n">
        <x:v>86.16747506666174</x:v>
      </x:c>
      <x:c r="H8" s="25" t="n">
        <x:v>86.16747506666174</x:v>
      </x:c>
      <x:c r="I8" s="42" t="n">
        <x:f>(G8/H8-1)*100</x:f>
        <x:v>0</x:v>
      </x:c>
      <x:c r="J8" s="23" t="str">
        <x:v>主模型（零基准）</x:v>
      </x:c>
    </x:row>
    <x:row r="9" ht="22" customHeight="1">
      <x:c r="A9" s="29" t="str">
        <x:v>10 K/min · 旧PMV</x:v>
      </x:c>
      <x:c r="B9" s="30" t="n">
        <x:v>10</x:v>
      </x:c>
      <x:c r="C9" s="29" t="str">
        <x:v>旧PMV关系</x:v>
      </x:c>
      <x:c r="D9" s="31" t="n">
        <x:v>66.48136409550564</x:v>
      </x:c>
      <x:c r="E9" s="31" t="n">
        <x:v>74.03513620319117</x:v>
      </x:c>
      <x:c r="F9" s="44" t="n">
        <x:f>(D9/E9-1)*100</x:f>
        <x:v>-10.20295564386351</x:v>
      </x:c>
      <x:c r="G9" s="31" t="n">
        <x:v>77.20675453382569</x:v>
      </x:c>
      <x:c r="H9" s="31" t="n">
        <x:v>86.16747506666174</x:v>
      </x:c>
      <x:c r="I9" s="44" t="n">
        <x:f>(G9/H9-1)*100</x:f>
        <x:v>-10.399191256217922</x:v>
      </x:c>
      <x:c r="J9" s="29" t="str">
        <x:v>对照</x:v>
      </x:c>
    </x:row>
    <x:row r="10" ht="22" customHeight="1">
      <x:c r="A10" s="35" t="str">
        <x:v>10 K/min · Kuwabara</x:v>
      </x:c>
      <x:c r="B10" s="36" t="n">
        <x:v>10</x:v>
      </x:c>
      <x:c r="C10" s="35" t="str">
        <x:v>Kuwabara经验</x:v>
      </x:c>
      <x:c r="D10" s="37" t="n">
        <x:v>63.97743273414523</x:v>
      </x:c>
      <x:c r="E10" s="37" t="n">
        <x:v>74.03513620319117</x:v>
      </x:c>
      <x:c r="F10" s="46" t="n">
        <x:f>(D10/E10-1)*100</x:f>
        <x:v>-13.585040812840997</x:v>
      </x:c>
      <x:c r="G10" s="37" t="n">
        <x:v>74.24189055798404</x:v>
      </x:c>
      <x:c r="H10" s="37" t="n">
        <x:v>86.16747506666174</x:v>
      </x:c>
      <x:c r="I10" s="46" t="n">
        <x:f>(G10/H10-1)*100</x:f>
        <x:v>-13.840006916126658</x:v>
      </x:c>
      <x:c r="J10" s="35" t="str">
        <x:v>对照</x:v>
      </x:c>
    </x:row>
  </x:sheetData>
  <x:pageMargins left="0.7" right="0.7" top="0.75" bottom="0.75" header="0.3" footer="0.3"/>
  <x:tableParts count="1">
    <x:tablePart xmlns:r="http://schemas.openxmlformats.org/officeDocument/2006/relationships" r:id="R305ee61abeae4f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5" hidden="0" customWidth="1"/>
    <x:col min="4" max="4" width="20" hidden="0" customWidth="1"/>
    <x:col min="5" max="5" width="16" hidden="0" customWidth="1"/>
    <x:col min="6" max="6" width="10" hidden="0" customWidth="1"/>
    <x:col min="7" max="7" width="17" hidden="0" customWidth="1"/>
    <x:col min="8" max="8" width="17" hidden="0" customWidth="1"/>
    <x:col min="9" max="9" width="17" hidden="0" customWidth="1"/>
    <x:col min="10" max="10" width="21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8" customHeight="1">
      <x:c r="A1" s="17" t="str">
        <x:v>分图</x:v>
      </x:c>
      <x:c r="B1" s="18" t="str">
        <x:v>类别</x:v>
      </x:c>
      <x:c r="C1" s="18" t="str">
        <x:v>设置</x:v>
      </x:c>
      <x:c r="D1" s="18" t="str">
        <x:v>外对流模型</x:v>
      </x:c>
      <x:c r="E1" s="18" t="str">
        <x:v>β_DSC（K/min）</x:v>
      </x:c>
      <x:c r="F1" s="18" t="str">
        <x:v>阈值</x:v>
      </x:c>
      <x:c r="G1" s="18" t="str">
        <x:v>模态时间（s）</x:v>
      </x:c>
      <x:c r="H1" s="18" t="str">
        <x:v>FVM时间（s）</x:v>
      </x:c>
      <x:c r="I1" s="18" t="str">
        <x:v>基准FVM（s）</x:v>
      </x:c>
      <x:c r="J1" s="18" t="str">
        <x:v>模态-FVM差异（%）</x:v>
      </x:c>
      <x:c r="K1" s="18" t="str">
        <x:v>加密变化（%）</x:v>
      </x:c>
      <x:c r="L1" s="18" t="str">
        <x:v>加密幅值（%）</x:v>
      </x:c>
      <x:c r="M1" s="18" t="str">
        <x:v>时间步（s）</x:v>
      </x:c>
      <x:c r="N1" s="19" t="str">
        <x:v>每层网格数</x:v>
      </x:c>
    </x:row>
    <x:row r="2" ht="22" customHeight="1">
      <x:c r="A2" s="23" t="str">
        <x:v>独立离散对照</x:v>
      </x:c>
      <x:c r="B2" s="23" t="str">
        <x:v>ISO简化 · 2 · t15</x:v>
      </x:c>
      <x:c r="C2" s="23" t="str">
        <x:v>基准</x:v>
      </x:c>
      <x:c r="D2" s="23" t="str">
        <x:v>ISO 11079简化</x:v>
      </x:c>
      <x:c r="E2" s="24" t="n">
        <x:v>2</x:v>
      </x:c>
      <x:c r="F2" s="23" t="str">
        <x:v>t15</x:v>
      </x:c>
      <x:c r="G2" s="55" t="n">
        <x:v>192.02800925434013</x:v>
      </x:c>
      <x:c r="H2" s="55" t="n">
        <x:v>194.23651385761707</x:v>
      </x:c>
      <x:c r="I2" s="55" t="n">
        <x:v>194.23651385761707</x:v>
      </x:c>
      <x:c r="J2" s="55" t="n">
        <x:f>IF(C2="基准",(H2/G2-1)*100,"")</x:f>
        <x:v>1.1500950365796792</x:v>
      </x:c>
      <x:c r="K2" s="55" t="str">
        <x:f>IF(C2="基准","",(H2/I2-1)*100)</x:f>
      </x:c>
      <x:c r="L2" s="55" t="str">
        <x:f>IF(C2="基准","",ABS(K2))</x:f>
      </x:c>
      <x:c r="M2" s="56" t="n">
        <x:v>0.025</x:v>
      </x:c>
      <x:c r="N2" s="24" t="n">
        <x:v>24</x:v>
      </x:c>
    </x:row>
    <x:row r="3" ht="22" customHeight="1">
      <x:c r="A3" s="23" t="str">
        <x:v>独立离散对照</x:v>
      </x:c>
      <x:c r="B3" s="23" t="str">
        <x:v>ISO简化 · 2 · t10</x:v>
      </x:c>
      <x:c r="C3" s="23" t="str">
        <x:v>基准</x:v>
      </x:c>
      <x:c r="D3" s="23" t="str">
        <x:v>ISO 11079简化</x:v>
      </x:c>
      <x:c r="E3" s="24" t="n">
        <x:v>2</x:v>
      </x:c>
      <x:c r="F3" s="23" t="str">
        <x:v>t10</x:v>
      </x:c>
      <x:c r="G3" s="55" t="n">
        <x:v>204.2621942219772</x:v>
      </x:c>
      <x:c r="H3" s="55" t="n">
        <x:v>206.3321159169353</x:v>
      </x:c>
      <x:c r="I3" s="55" t="n">
        <x:v>206.3321159169353</x:v>
      </x:c>
      <x:c r="J3" s="55" t="n">
        <x:f>IF(C3="基准",(H3/G3-1)*100,"")</x:f>
        <x:v>1.0133650540876227</x:v>
      </x:c>
      <x:c r="K3" s="55" t="str">
        <x:f>IF(C3="基准","",(H3/I3-1)*100)</x:f>
      </x:c>
      <x:c r="L3" s="55" t="str">
        <x:f>IF(C3="基准","",ABS(K3))</x:f>
      </x:c>
      <x:c r="M3" s="56" t="n">
        <x:v>0.025</x:v>
      </x:c>
      <x:c r="N3" s="24" t="n">
        <x:v>24</x:v>
      </x:c>
    </x:row>
    <x:row r="4" ht="22" customHeight="1">
      <x:c r="A4" s="23" t="str">
        <x:v>独立离散对照</x:v>
      </x:c>
      <x:c r="B4" s="23" t="str">
        <x:v>ISO简化 · 5 · t15</x:v>
      </x:c>
      <x:c r="C4" s="23" t="str">
        <x:v>基准</x:v>
      </x:c>
      <x:c r="D4" s="23" t="str">
        <x:v>ISO 11079简化</x:v>
      </x:c>
      <x:c r="E4" s="24" t="n">
        <x:v>5</x:v>
      </x:c>
      <x:c r="F4" s="23" t="str">
        <x:v>t15</x:v>
      </x:c>
      <x:c r="G4" s="55" t="n">
        <x:v>103.4915847342144</x:v>
      </x:c>
      <x:c r="H4" s="55" t="n">
        <x:v>104.55396048072764</x:v>
      </x:c>
      <x:c r="I4" s="55" t="n">
        <x:v>104.55396048072764</x:v>
      </x:c>
      <x:c r="J4" s="55" t="n">
        <x:f>IF(C4="基准",(H4/G4-1)*100,"")</x:f>
        <x:v>1.0265334609008248</x:v>
      </x:c>
      <x:c r="K4" s="55" t="str">
        <x:f>IF(C4="基准","",(H4/I4-1)*100)</x:f>
      </x:c>
      <x:c r="L4" s="55" t="str">
        <x:f>IF(C4="基准","",ABS(K4))</x:f>
      </x:c>
      <x:c r="M4" s="56" t="n">
        <x:v>0.025</x:v>
      </x:c>
      <x:c r="N4" s="24" t="n">
        <x:v>24</x:v>
      </x:c>
    </x:row>
    <x:row r="5" ht="22" customHeight="1">
      <x:c r="A5" s="23" t="str">
        <x:v>独立离散对照</x:v>
      </x:c>
      <x:c r="B5" s="23" t="str">
        <x:v>ISO简化 · 5 · t10</x:v>
      </x:c>
      <x:c r="C5" s="23" t="str">
        <x:v>基准</x:v>
      </x:c>
      <x:c r="D5" s="23" t="str">
        <x:v>ISO 11079简化</x:v>
      </x:c>
      <x:c r="E5" s="24" t="n">
        <x:v>5</x:v>
      </x:c>
      <x:c r="F5" s="23" t="str">
        <x:v>t10</x:v>
      </x:c>
      <x:c r="G5" s="55" t="n">
        <x:v>115.66576634720914</x:v>
      </x:c>
      <x:c r="H5" s="55" t="n">
        <x:v>116.6830809305816</x:v>
      </x:c>
      <x:c r="I5" s="55" t="n">
        <x:v>116.6830809305816</x:v>
      </x:c>
      <x:c r="J5" s="55" t="n">
        <x:f>IF(C5="基准",(H5/G5-1)*100,"")</x:f>
        <x:v>0.8795295405890746</x:v>
      </x:c>
      <x:c r="K5" s="55" t="str">
        <x:f>IF(C5="基准","",(H5/I5-1)*100)</x:f>
      </x:c>
      <x:c r="L5" s="55" t="str">
        <x:f>IF(C5="基准","",ABS(K5))</x:f>
      </x:c>
      <x:c r="M5" s="56" t="n">
        <x:v>0.025</x:v>
      </x:c>
      <x:c r="N5" s="24" t="n">
        <x:v>24</x:v>
      </x:c>
    </x:row>
    <x:row r="6" ht="22" customHeight="1">
      <x:c r="A6" s="23" t="str">
        <x:v>独立离散对照</x:v>
      </x:c>
      <x:c r="B6" s="23" t="str">
        <x:v>ISO简化 · 10 · t15</x:v>
      </x:c>
      <x:c r="C6" s="23" t="str">
        <x:v>基准</x:v>
      </x:c>
      <x:c r="D6" s="23" t="str">
        <x:v>ISO 11079简化</x:v>
      </x:c>
      <x:c r="E6" s="24" t="n">
        <x:v>10</x:v>
      </x:c>
      <x:c r="F6" s="23" t="str">
        <x:v>t15</x:v>
      </x:c>
      <x:c r="G6" s="55" t="n">
        <x:v>74.03513620319117</x:v>
      </x:c>
      <x:c r="H6" s="55" t="n">
        <x:v>74.71421107807691</x:v>
      </x:c>
      <x:c r="I6" s="55" t="n">
        <x:v>74.71421107807691</x:v>
      </x:c>
      <x:c r="J6" s="55" t="n">
        <x:f>IF(C6="基准",(H6/G6-1)*100,"")</x:f>
        <x:v>0.91723323507098</x:v>
      </x:c>
      <x:c r="K6" s="55" t="str">
        <x:f>IF(C6="基准","",(H6/I6-1)*100)</x:f>
      </x:c>
      <x:c r="L6" s="55" t="str">
        <x:f>IF(C6="基准","",ABS(K6))</x:f>
      </x:c>
      <x:c r="M6" s="56" t="n">
        <x:v>0.025</x:v>
      </x:c>
      <x:c r="N6" s="24" t="n">
        <x:v>24</x:v>
      </x:c>
    </x:row>
    <x:row r="7" ht="22" customHeight="1">
      <x:c r="A7" s="23" t="str">
        <x:v>独立离散对照</x:v>
      </x:c>
      <x:c r="B7" s="23" t="str">
        <x:v>ISO简化 · 10 · t10</x:v>
      </x:c>
      <x:c r="C7" s="23" t="str">
        <x:v>基准</x:v>
      </x:c>
      <x:c r="D7" s="23" t="str">
        <x:v>ISO 11079简化</x:v>
      </x:c>
      <x:c r="E7" s="24" t="n">
        <x:v>10</x:v>
      </x:c>
      <x:c r="F7" s="23" t="str">
        <x:v>t10</x:v>
      </x:c>
      <x:c r="G7" s="55" t="n">
        <x:v>86.16747506666174</x:v>
      </x:c>
      <x:c r="H7" s="55" t="n">
        <x:v>86.85213689816356</x:v>
      </x:c>
      <x:c r="I7" s="55" t="n">
        <x:v>86.85213689816356</x:v>
      </x:c>
      <x:c r="J7" s="55" t="n">
        <x:f>IF(C7="基准",(H7/G7-1)*100,"")</x:f>
        <x:v>0.7945710733338274</x:v>
      </x:c>
      <x:c r="K7" s="55" t="str">
        <x:f>IF(C7="基准","",(H7/I7-1)*100)</x:f>
      </x:c>
      <x:c r="L7" s="55" t="str">
        <x:f>IF(C7="基准","",ABS(K7))</x:f>
      </x:c>
      <x:c r="M7" s="56" t="n">
        <x:v>0.025</x:v>
      </x:c>
      <x:c r="N7" s="24" t="n">
        <x:v>24</x:v>
      </x:c>
    </x:row>
    <x:row r="8" ht="22" customHeight="1">
      <x:c r="A8" s="35" t="str">
        <x:v>独立离散对照</x:v>
      </x:c>
      <x:c r="B8" s="35" t="str">
        <x:v>旧PMV · 2 · t15</x:v>
      </x:c>
      <x:c r="C8" s="35" t="str">
        <x:v>基准</x:v>
      </x:c>
      <x:c r="D8" s="35" t="str">
        <x:v>旧PMV关系</x:v>
      </x:c>
      <x:c r="E8" s="36" t="n">
        <x:v>2</x:v>
      </x:c>
      <x:c r="F8" s="35" t="str">
        <x:v>t15</x:v>
      </x:c>
      <x:c r="G8" s="59" t="n">
        <x:v>171.40334538516566</x:v>
      </x:c>
      <x:c r="H8" s="59" t="n">
        <x:v>173.45166199568152</x:v>
      </x:c>
      <x:c r="I8" s="59" t="n">
        <x:v>173.45166199568152</x:v>
      </x:c>
      <x:c r="J8" s="59" t="n">
        <x:f>IF(C8="基准",(H8/G8-1)*100,"")</x:f>
        <x:v>1.195027206682009</x:v>
      </x:c>
      <x:c r="K8" s="59" t="str">
        <x:f>IF(C8="基准","",(H8/I8-1)*100)</x:f>
      </x:c>
      <x:c r="L8" s="59" t="str">
        <x:f>IF(C8="基准","",ABS(K8))</x:f>
      </x:c>
      <x:c r="M8" s="60" t="n">
        <x:v>0.025</x:v>
      </x:c>
      <x:c r="N8" s="36" t="n">
        <x:v>24</x:v>
      </x:c>
    </x:row>
    <x:row r="9" ht="22" customHeight="1">
      <x:c r="A9" s="29" t="str">
        <x:v>独立离散对照</x:v>
      </x:c>
      <x:c r="B9" s="29" t="str">
        <x:v>旧PMV · 2 · t10</x:v>
      </x:c>
      <x:c r="C9" s="29" t="str">
        <x:v>基准</x:v>
      </x:c>
      <x:c r="D9" s="29" t="str">
        <x:v>旧PMV关系</x:v>
      </x:c>
      <x:c r="E9" s="30" t="n">
        <x:v>2</x:v>
      </x:c>
      <x:c r="F9" s="29" t="str">
        <x:v>t10</x:v>
      </x:c>
      <x:c r="G9" s="63" t="n">
        <x:v>182.2343143506236</x:v>
      </x:c>
      <x:c r="H9" s="63" t="n">
        <x:v>184.12514247235777</x:v>
      </x:c>
      <x:c r="I9" s="63" t="n">
        <x:v>184.12514247235777</x:v>
      </x:c>
      <x:c r="J9" s="63" t="n">
        <x:f>IF(C9="基准",(H9/G9-1)*100,"")</x:f>
        <x:v>1.0375807259307646</x:v>
      </x:c>
      <x:c r="K9" s="63" t="str">
        <x:f>IF(C9="基准","",(H9/I9-1)*100)</x:f>
      </x:c>
      <x:c r="L9" s="63" t="str">
        <x:f>IF(C9="基准","",ABS(K9))</x:f>
      </x:c>
      <x:c r="M9" s="64" t="n">
        <x:v>0.025</x:v>
      </x:c>
      <x:c r="N9" s="30" t="n">
        <x:v>24</x:v>
      </x:c>
    </x:row>
    <x:row r="10" ht="22" customHeight="1">
      <x:c r="A10" s="35" t="str">
        <x:v>独立离散对照</x:v>
      </x:c>
      <x:c r="B10" s="35" t="str">
        <x:v>旧PMV · 5 · t15</x:v>
      </x:c>
      <x:c r="C10" s="35" t="str">
        <x:v>基准</x:v>
      </x:c>
      <x:c r="D10" s="35" t="str">
        <x:v>旧PMV关系</x:v>
      </x:c>
      <x:c r="E10" s="36" t="n">
        <x:v>5</x:v>
      </x:c>
      <x:c r="F10" s="35" t="str">
        <x:v>t15</x:v>
      </x:c>
      <x:c r="G10" s="59" t="n">
        <x:v>92.66957382252926</x:v>
      </x:c>
      <x:c r="H10" s="59" t="n">
        <x:v>93.6502392229257</x:v>
      </x:c>
      <x:c r="I10" s="59" t="n">
        <x:v>93.6502392229257</x:v>
      </x:c>
      <x:c r="J10" s="59" t="n">
        <x:f>IF(C10="基准",(H10/G10-1)*100,"")</x:f>
        <x:v>1.058238815551804</x:v>
      </x:c>
      <x:c r="K10" s="59" t="str">
        <x:f>IF(C10="基准","",(H10/I10-1)*100)</x:f>
      </x:c>
      <x:c r="L10" s="59" t="str">
        <x:f>IF(C10="基准","",ABS(K10))</x:f>
      </x:c>
      <x:c r="M10" s="60" t="n">
        <x:v>0.025</x:v>
      </x:c>
      <x:c r="N10" s="36" t="n">
        <x:v>24</x:v>
      </x:c>
    </x:row>
    <x:row r="11" ht="22" customHeight="1">
      <x:c r="A11" s="29" t="str">
        <x:v>独立离散对照</x:v>
      </x:c>
      <x:c r="B11" s="29" t="str">
        <x:v>旧PMV · 5 · t10</x:v>
      </x:c>
      <x:c r="C11" s="29" t="str">
        <x:v>基准</x:v>
      </x:c>
      <x:c r="D11" s="29" t="str">
        <x:v>旧PMV关系</x:v>
      </x:c>
      <x:c r="E11" s="30" t="n">
        <x:v>5</x:v>
      </x:c>
      <x:c r="F11" s="29" t="str">
        <x:v>t10</x:v>
      </x:c>
      <x:c r="G11" s="63" t="n">
        <x:v>103.43902829605813</x:v>
      </x:c>
      <x:c r="H11" s="63" t="n">
        <x:v>104.35754472249268</x:v>
      </x:c>
      <x:c r="I11" s="63" t="n">
        <x:v>104.35754472249268</x:v>
      </x:c>
      <x:c r="J11" s="63" t="n">
        <x:f>IF(C11="基准",(H11/G11-1)*100,"")</x:f>
        <x:v>0.887978591412919</x:v>
      </x:c>
      <x:c r="K11" s="63" t="str">
        <x:f>IF(C11="基准","",(H11/I11-1)*100)</x:f>
      </x:c>
      <x:c r="L11" s="63" t="str">
        <x:f>IF(C11="基准","",ABS(K11))</x:f>
      </x:c>
      <x:c r="M11" s="64" t="n">
        <x:v>0.025</x:v>
      </x:c>
      <x:c r="N11" s="30" t="n">
        <x:v>24</x:v>
      </x:c>
    </x:row>
    <x:row r="12" ht="22" customHeight="1">
      <x:c r="A12" s="35" t="str">
        <x:v>独立离散对照</x:v>
      </x:c>
      <x:c r="B12" s="35" t="str">
        <x:v>旧PMV · 10 · t15</x:v>
      </x:c>
      <x:c r="C12" s="35" t="str">
        <x:v>基准</x:v>
      </x:c>
      <x:c r="D12" s="35" t="str">
        <x:v>旧PMV关系</x:v>
      </x:c>
      <x:c r="E12" s="36" t="n">
        <x:v>10</x:v>
      </x:c>
      <x:c r="F12" s="35" t="str">
        <x:v>t15</x:v>
      </x:c>
      <x:c r="G12" s="59" t="n">
        <x:v>66.48136409550564</x:v>
      </x:c>
      <x:c r="H12" s="59" t="n">
        <x:v>67.10520476468835</x:v>
      </x:c>
      <x:c r="I12" s="59" t="n">
        <x:v>67.10520476468835</x:v>
      </x:c>
      <x:c r="J12" s="59" t="n">
        <x:f>IF(C12="基准",(H12/G12-1)*100,"")</x:f>
        <x:v>0.9383692372595176</x:v>
      </x:c>
      <x:c r="K12" s="59" t="str">
        <x:f>IF(C12="基准","",(H12/I12-1)*100)</x:f>
      </x:c>
      <x:c r="L12" s="59" t="str">
        <x:f>IF(C12="基准","",ABS(K12))</x:f>
      </x:c>
      <x:c r="M12" s="60" t="n">
        <x:v>0.025</x:v>
      </x:c>
      <x:c r="N12" s="36" t="n">
        <x:v>24</x:v>
      </x:c>
    </x:row>
    <x:row r="13" ht="22" customHeight="1">
      <x:c r="A13" s="29" t="str">
        <x:v>独立离散对照</x:v>
      </x:c>
      <x:c r="B13" s="29" t="str">
        <x:v>旧PMV · 10 · t10</x:v>
      </x:c>
      <x:c r="C13" s="29" t="str">
        <x:v>基准</x:v>
      </x:c>
      <x:c r="D13" s="29" t="str">
        <x:v>旧PMV关系</x:v>
      </x:c>
      <x:c r="E13" s="30" t="n">
        <x:v>10</x:v>
      </x:c>
      <x:c r="F13" s="29" t="str">
        <x:v>t10</x:v>
      </x:c>
      <x:c r="G13" s="63" t="n">
        <x:v>77.20675453382569</x:v>
      </x:c>
      <x:c r="H13" s="63" t="n">
        <x:v>77.82151322880102</x:v>
      </x:c>
      <x:c r="I13" s="63" t="n">
        <x:v>77.82151322880102</x:v>
      </x:c>
      <x:c r="J13" s="63" t="n">
        <x:f>IF(C13="基准",(H13/G13-1)*100,"")</x:f>
        <x:v>0.7962498860200062</x:v>
      </x:c>
      <x:c r="K13" s="63" t="str">
        <x:f>IF(C13="基准","",(H13/I13-1)*100)</x:f>
      </x:c>
      <x:c r="L13" s="63" t="str">
        <x:f>IF(C13="基准","",ABS(K13))</x:f>
      </x:c>
      <x:c r="M13" s="64" t="n">
        <x:v>0.025</x:v>
      </x:c>
      <x:c r="N13" s="30" t="n">
        <x:v>24</x:v>
      </x:c>
    </x:row>
    <x:row r="14" ht="22" customHeight="1">
      <x:c r="A14" s="35" t="str">
        <x:v>独立离散对照</x:v>
      </x:c>
      <x:c r="B14" s="35" t="str">
        <x:v>Kuwabara · 2 · t15</x:v>
      </x:c>
      <x:c r="C14" s="35" t="str">
        <x:v>基准</x:v>
      </x:c>
      <x:c r="D14" s="35" t="str">
        <x:v>Kuwabara经验</x:v>
      </x:c>
      <x:c r="E14" s="36" t="n">
        <x:v>2</x:v>
      </x:c>
      <x:c r="F14" s="35" t="str">
        <x:v>t15</x:v>
      </x:c>
      <x:c r="G14" s="59" t="n">
        <x:v>164.57453631937474</x:v>
      </x:c>
      <x:c r="H14" s="59" t="n">
        <x:v>166.57343072761554</x:v>
      </x:c>
      <x:c r="I14" s="59" t="n">
        <x:v>166.57343072761554</x:v>
      </x:c>
      <x:c r="J14" s="59" t="n">
        <x:f>IF(C14="基准",(H14/G14-1)*100,"")</x:f>
        <x:v>1.2145830411830705</x:v>
      </x:c>
      <x:c r="K14" s="59" t="str">
        <x:f>IF(C14="基准","",(H14/I14-1)*100)</x:f>
      </x:c>
      <x:c r="L14" s="59" t="str">
        <x:f>IF(C14="基准","",ABS(K14))</x:f>
      </x:c>
      <x:c r="M14" s="60" t="n">
        <x:v>0.025</x:v>
      </x:c>
      <x:c r="N14" s="36" t="n">
        <x:v>24</x:v>
      </x:c>
    </x:row>
    <x:row r="15" ht="22" customHeight="1">
      <x:c r="A15" s="29" t="str">
        <x:v>独立离散对照</x:v>
      </x:c>
      <x:c r="B15" s="29" t="str">
        <x:v>Kuwabara · 2 · t10</x:v>
      </x:c>
      <x:c r="C15" s="29" t="str">
        <x:v>基准</x:v>
      </x:c>
      <x:c r="D15" s="29" t="str">
        <x:v>Kuwabara经验</x:v>
      </x:c>
      <x:c r="E15" s="30" t="n">
        <x:v>2</x:v>
      </x:c>
      <x:c r="F15" s="29" t="str">
        <x:v>t10</x:v>
      </x:c>
      <x:c r="G15" s="63" t="n">
        <x:v>174.94580969640822</x:v>
      </x:c>
      <x:c r="H15" s="63" t="n">
        <x:v>176.78146536939533</x:v>
      </x:c>
      <x:c r="I15" s="63" t="n">
        <x:v>176.78146536939533</x:v>
      </x:c>
      <x:c r="J15" s="63" t="n">
        <x:f>IF(C15="基准",(H15/G15-1)*100,"")</x:f>
        <x:v>1.0492710149346385</x:v>
      </x:c>
      <x:c r="K15" s="63" t="str">
        <x:f>IF(C15="基准","",(H15/I15-1)*100)</x:f>
      </x:c>
      <x:c r="L15" s="63" t="str">
        <x:f>IF(C15="基准","",ABS(K15))</x:f>
      </x:c>
      <x:c r="M15" s="64" t="n">
        <x:v>0.025</x:v>
      </x:c>
      <x:c r="N15" s="30" t="n">
        <x:v>24</x:v>
      </x:c>
    </x:row>
    <x:row r="16" ht="22" customHeight="1">
      <x:c r="A16" s="35" t="str">
        <x:v>独立离散对照</x:v>
      </x:c>
      <x:c r="B16" s="35" t="str">
        <x:v>Kuwabara · 5 · t15</x:v>
      </x:c>
      <x:c r="C16" s="35" t="str">
        <x:v>基准</x:v>
      </x:c>
      <x:c r="D16" s="35" t="str">
        <x:v>Kuwabara经验</x:v>
      </x:c>
      <x:c r="E16" s="36" t="n">
        <x:v>5</x:v>
      </x:c>
      <x:c r="F16" s="35" t="str">
        <x:v>t15</x:v>
      </x:c>
      <x:c r="G16" s="59" t="n">
        <x:v>89.08417426307342</x:v>
      </x:c>
      <x:c r="H16" s="59" t="n">
        <x:v>90.0390750056233</x:v>
      </x:c>
      <x:c r="I16" s="59" t="n">
        <x:v>90.0390750056233</x:v>
      </x:c>
      <x:c r="J16" s="59" t="n">
        <x:f>IF(C16="基准",(H16/G16-1)*100,"")</x:f>
        <x:v>1.0719083950085029</x:v>
      </x:c>
      <x:c r="K16" s="59" t="str">
        <x:f>IF(C16="基准","",(H16/I16-1)*100)</x:f>
      </x:c>
      <x:c r="L16" s="59" t="str">
        <x:f>IF(C16="基准","",ABS(K16))</x:f>
      </x:c>
      <x:c r="M16" s="60" t="n">
        <x:v>0.025</x:v>
      </x:c>
      <x:c r="N16" s="36" t="n">
        <x:v>24</x:v>
      </x:c>
    </x:row>
    <x:row r="17" ht="22" customHeight="1">
      <x:c r="A17" s="29" t="str">
        <x:v>独立离散对照</x:v>
      </x:c>
      <x:c r="B17" s="29" t="str">
        <x:v>Kuwabara · 5 · t10</x:v>
      </x:c>
      <x:c r="C17" s="29" t="str">
        <x:v>基准</x:v>
      </x:c>
      <x:c r="D17" s="29" t="str">
        <x:v>Kuwabara经验</x:v>
      </x:c>
      <x:c r="E17" s="30" t="n">
        <x:v>5</x:v>
      </x:c>
      <x:c r="F17" s="29" t="str">
        <x:v>t10</x:v>
      </x:c>
      <x:c r="G17" s="63" t="n">
        <x:v>99.39347596584511</x:v>
      </x:c>
      <x:c r="H17" s="63" t="n">
        <x:v>100.28077805025455</x:v>
      </x:c>
      <x:c r="I17" s="63" t="n">
        <x:v>100.28077805025455</x:v>
      </x:c>
      <x:c r="J17" s="63" t="n">
        <x:f>IF(C17="基准",(H17/G17-1)*100,"")</x:f>
        <x:v>0.8927166252987728</x:v>
      </x:c>
      <x:c r="K17" s="63" t="str">
        <x:f>IF(C17="基准","",(H17/I17-1)*100)</x:f>
      </x:c>
      <x:c r="L17" s="63" t="str">
        <x:f>IF(C17="基准","",ABS(K17))</x:f>
      </x:c>
      <x:c r="M17" s="64" t="n">
        <x:v>0.025</x:v>
      </x:c>
      <x:c r="N17" s="30" t="n">
        <x:v>24</x:v>
      </x:c>
    </x:row>
    <x:row r="18" ht="22" customHeight="1">
      <x:c r="A18" s="35" t="str">
        <x:v>独立离散对照</x:v>
      </x:c>
      <x:c r="B18" s="35" t="str">
        <x:v>Kuwabara · 10 · t15</x:v>
      </x:c>
      <x:c r="C18" s="35" t="str">
        <x:v>基准</x:v>
      </x:c>
      <x:c r="D18" s="35" t="str">
        <x:v>Kuwabara经验</x:v>
      </x:c>
      <x:c r="E18" s="36" t="n">
        <x:v>10</x:v>
      </x:c>
      <x:c r="F18" s="35" t="str">
        <x:v>t15</x:v>
      </x:c>
      <x:c r="G18" s="59" t="n">
        <x:v>63.97743273414523</x:v>
      </x:c>
      <x:c r="H18" s="59" t="n">
        <x:v>64.58351461367529</x:v>
      </x:c>
      <x:c r="I18" s="59" t="n">
        <x:v>64.58351461367529</x:v>
      </x:c>
      <x:c r="J18" s="59" t="n">
        <x:f>IF(C18="基准",(H18/G18-1)*100,"")</x:f>
        <x:v>0.9473369806015874</x:v>
      </x:c>
      <x:c r="K18" s="59" t="str">
        <x:f>IF(C18="基准","",(H18/I18-1)*100)</x:f>
      </x:c>
      <x:c r="L18" s="59" t="str">
        <x:f>IF(C18="基准","",ABS(K18))</x:f>
      </x:c>
      <x:c r="M18" s="60" t="n">
        <x:v>0.025</x:v>
      </x:c>
      <x:c r="N18" s="36" t="n">
        <x:v>24</x:v>
      </x:c>
    </x:row>
    <x:row r="19" ht="22" customHeight="1">
      <x:c r="A19" s="29" t="str">
        <x:v>独立离散对照</x:v>
      </x:c>
      <x:c r="B19" s="29" t="str">
        <x:v>Kuwabara · 10 · t10</x:v>
      </x:c>
      <x:c r="C19" s="29" t="str">
        <x:v>基准</x:v>
      </x:c>
      <x:c r="D19" s="29" t="str">
        <x:v>Kuwabara经验</x:v>
      </x:c>
      <x:c r="E19" s="30" t="n">
        <x:v>10</x:v>
      </x:c>
      <x:c r="F19" s="29" t="str">
        <x:v>t10</x:v>
      </x:c>
      <x:c r="G19" s="63" t="n">
        <x:v>74.24189055798404</x:v>
      </x:c>
      <x:c r="H19" s="63" t="n">
        <x:v>74.83420139410413</x:v>
      </x:c>
      <x:c r="I19" s="63" t="n">
        <x:v>74.83420139410413</x:v>
      </x:c>
      <x:c r="J19" s="63" t="n">
        <x:f>IF(C19="基准",(H19/G19-1)*100,"")</x:f>
        <x:v>0.7978121673201333</x:v>
      </x:c>
      <x:c r="K19" s="63" t="str">
        <x:f>IF(C19="基准","",(H19/I19-1)*100)</x:f>
      </x:c>
      <x:c r="L19" s="63" t="str">
        <x:f>IF(C19="基准","",ABS(K19))</x:f>
      </x:c>
      <x:c r="M19" s="64" t="n">
        <x:v>0.025</x:v>
      </x:c>
      <x:c r="N19" s="30" t="n">
        <x:v>24</x:v>
      </x:c>
    </x:row>
    <x:row r="20" ht="22" customHeight="1">
      <x:c r="A20" s="23" t="str">
        <x:v>FVM加密检查</x:v>
      </x:c>
      <x:c r="B20" s="23" t="str">
        <x:v>时间步减半 · t15</x:v>
      </x:c>
      <x:c r="C20" s="23" t="str">
        <x:v>时间步减半</x:v>
      </x:c>
      <x:c r="D20" s="23" t="str">
        <x:v>ISO 11079简化</x:v>
      </x:c>
      <x:c r="E20" s="24" t="n">
        <x:v>5</x:v>
      </x:c>
      <x:c r="F20" s="23" t="str">
        <x:v>t15</x:v>
      </x:c>
      <x:c r="G20" s="55" t="n">
        <x:v>103.4915847342144</x:v>
      </x:c>
      <x:c r="H20" s="55" t="n">
        <x:v>104.55086823627992</x:v>
      </x:c>
      <x:c r="I20" s="55" t="n">
        <x:v>104.55396048072764</x:v>
      </x:c>
      <x:c r="J20" s="55" t="str">
        <x:f>IF(C20="基准",(H20/G20-1)*100,"")</x:f>
      </x:c>
      <x:c r="K20" s="55" t="n">
        <x:f>IF(C20="基准","",(H20/I20-1)*100)</x:f>
        <x:v>-0.0029575584066798832</x:v>
      </x:c>
      <x:c r="L20" s="55" t="n">
        <x:f>IF(C20="基准","",ABS(K20))</x:f>
        <x:v>0.0029575584066798832</x:v>
      </x:c>
      <x:c r="M20" s="56" t="n">
        <x:v>0.0125</x:v>
      </x:c>
      <x:c r="N20" s="24" t="n">
        <x:v>24</x:v>
      </x:c>
    </x:row>
    <x:row r="21" ht="22" customHeight="1">
      <x:c r="A21" s="23" t="str">
        <x:v>FVM加密检查</x:v>
      </x:c>
      <x:c r="B21" s="23" t="str">
        <x:v>时间步减半 · t10</x:v>
      </x:c>
      <x:c r="C21" s="23" t="str">
        <x:v>时间步减半</x:v>
      </x:c>
      <x:c r="D21" s="23" t="str">
        <x:v>ISO 11079简化</x:v>
      </x:c>
      <x:c r="E21" s="24" t="n">
        <x:v>5</x:v>
      </x:c>
      <x:c r="F21" s="23" t="str">
        <x:v>t10</x:v>
      </x:c>
      <x:c r="G21" s="55" t="n">
        <x:v>115.66576634720914</x:v>
      </x:c>
      <x:c r="H21" s="55" t="n">
        <x:v>116.67883726911984</x:v>
      </x:c>
      <x:c r="I21" s="55" t="n">
        <x:v>116.6830809305816</x:v>
      </x:c>
      <x:c r="J21" s="55" t="str">
        <x:f>IF(C21="基准",(H21/G21-1)*100,"")</x:f>
      </x:c>
      <x:c r="K21" s="55" t="n">
        <x:f>IF(C21="基准","",(H21/I21-1)*100)</x:f>
        <x:v>-0.0036369124194468583</x:v>
      </x:c>
      <x:c r="L21" s="55" t="n">
        <x:f>IF(C21="基准","",ABS(K21))</x:f>
        <x:v>0.0036369124194468583</x:v>
      </x:c>
      <x:c r="M21" s="56" t="n">
        <x:v>0.0125</x:v>
      </x:c>
      <x:c r="N21" s="24" t="n">
        <x:v>24</x:v>
      </x:c>
    </x:row>
    <x:row r="22" ht="22" customHeight="1">
      <x:c r="A22" s="23" t="str">
        <x:v>FVM加密检查</x:v>
      </x:c>
      <x:c r="B22" s="23" t="str">
        <x:v>网格加密 · t15</x:v>
      </x:c>
      <x:c r="C22" s="23" t="str">
        <x:v>网格加密</x:v>
      </x:c>
      <x:c r="D22" s="23" t="str">
        <x:v>ISO 11079简化</x:v>
      </x:c>
      <x:c r="E22" s="24" t="n">
        <x:v>5</x:v>
      </x:c>
      <x:c r="F22" s="23" t="str">
        <x:v>t15</x:v>
      </x:c>
      <x:c r="G22" s="55" t="n">
        <x:v>103.4915847342144</x:v>
      </x:c>
      <x:c r="H22" s="55" t="n">
        <x:v>104.55388029546005</x:v>
      </x:c>
      <x:c r="I22" s="55" t="n">
        <x:v>104.55396048072764</x:v>
      </x:c>
      <x:c r="J22" s="55" t="str">
        <x:f>IF(C22="基准",(H22/G22-1)*100,"")</x:f>
      </x:c>
      <x:c r="K22" s="55" t="n">
        <x:f>IF(C22="基准","",(H22/I22-1)*100)</x:f>
        <x:v>-0.00007669271180343884</x:v>
      </x:c>
      <x:c r="L22" s="55" t="n">
        <x:f>IF(C22="基准","",ABS(K22))</x:f>
        <x:v>0.00007669271180343884</x:v>
      </x:c>
      <x:c r="M22" s="56" t="n">
        <x:v>0.025</x:v>
      </x:c>
      <x:c r="N22" s="24" t="n">
        <x:v>36</x:v>
      </x:c>
    </x:row>
    <x:row r="23" ht="22" customHeight="1">
      <x:c r="A23" s="23" t="str">
        <x:v>FVM加密检查</x:v>
      </x:c>
      <x:c r="B23" s="23" t="str">
        <x:v>网格加密 · t10</x:v>
      </x:c>
      <x:c r="C23" s="23" t="str">
        <x:v>网格加密</x:v>
      </x:c>
      <x:c r="D23" s="23" t="str">
        <x:v>ISO 11079简化</x:v>
      </x:c>
      <x:c r="E23" s="24" t="n">
        <x:v>5</x:v>
      </x:c>
      <x:c r="F23" s="23" t="str">
        <x:v>t10</x:v>
      </x:c>
      <x:c r="G23" s="55" t="n">
        <x:v>115.66576634720914</x:v>
      </x:c>
      <x:c r="H23" s="55" t="n">
        <x:v>116.68325500888255</x:v>
      </x:c>
      <x:c r="I23" s="55" t="n">
        <x:v>116.6830809305816</x:v>
      </x:c>
      <x:c r="J23" s="55" t="str">
        <x:f>IF(C23="基准",(H23/G23-1)*100,"")</x:f>
      </x:c>
      <x:c r="K23" s="55" t="n">
        <x:f>IF(C23="基准","",(H23/I23-1)*100)</x:f>
        <x:v>0.00014918898230131816</x:v>
      </x:c>
      <x:c r="L23" s="55" t="n">
        <x:f>IF(C23="基准","",ABS(K23))</x:f>
        <x:v>0.00014918898230131816</x:v>
      </x:c>
      <x:c r="M23" s="56" t="n">
        <x:v>0.025</x:v>
      </x:c>
      <x:c r="N23" s="24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d4993c047aea4daf"/>
  </x:tableParts>
</x:worksheet>
</file>