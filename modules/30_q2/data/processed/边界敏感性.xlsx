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3662b28f2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边界敏感性" sheetId="1" r:id="R7d5739990ccf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3">
    <x:font>
      <x:sz val="11"/>
      <x:name val="Carlito"/>
    </x:font>
    <x:font>
      <x:sz val="10"/>
      <x:color rgb="FF333333"/>
      <x:name val="Times New Roman"/>
    </x:font>
    <x:font>
      <x:b/>
      <x:sz val="10"/>
      <x:color rgb="FFFFFFFF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EAF3FF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4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  <x:xf numFmtId="202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12c48cd3045f7" /><Relationship Type="http://schemas.openxmlformats.org/officeDocument/2006/relationships/theme" Target="/xl/theme/theme1.xml" Id="Rd688d990667841a8" /><Relationship Type="http://schemas.openxmlformats.org/officeDocument/2006/relationships/sharedStrings" Target="/xl/sharedStrings.xml" Id="Re2657cf5d1e24e46" /><Relationship Type="http://schemas.openxmlformats.org/officeDocument/2006/relationships/worksheet" Target="/xl/worksheets/sheet1.xml" Id="R7d5739990ccf465d" /></Relationships>
</file>

<file path=xl/tables/table1.xml><?xml version="1.0" encoding="utf-8"?>
<x:table xmlns:x="http://schemas.openxmlformats.org/spreadsheetml/2006/main" id="1" name="SensitivityData" displayName="SensitivityData" ref="A1:J10" headerRowCount="1" totalsRowCount="0" totalsRowShown="0">
  <x:tableColumns count="10">
    <x:tableColumn id="1" name="类别"/>
    <x:tableColumn id="2" name="β_DSC（K/min）"/>
    <x:tableColumn id="3" name="外对流模型"/>
    <x:tableColumn id="4" name="t15（s）"/>
    <x:tableColumn id="5" name="ISO基准t15（s）"/>
    <x:tableColumn id="6" name="t15相对ISO（%）"/>
    <x:tableColumn id="7" name="t10（s）"/>
    <x:tableColumn id="8" name="ISO基准t10（s）"/>
    <x:tableColumn id="9" name="t10相对ISO（%）"/>
    <x:tableColumn id="10" name="模型层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88515b71e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3" hidden="0" customWidth="1"/>
    <x:col min="5" max="5" width="18" hidden="0" customWidth="1"/>
    <x:col min="6" max="6" width="19" hidden="0" customWidth="1"/>
    <x:col min="7" max="7" width="13" hidden="0" customWidth="1"/>
    <x:col min="8" max="8" width="18" hidden="0" customWidth="1"/>
    <x:col min="9" max="9" width="19" hidden="0" customWidth="1"/>
    <x:col min="10" max="10" width="18" hidden="0" customWidth="1"/>
  </x:cols>
  <x:sheetData>
    <x:row r="1" ht="38" customHeight="1">
      <x:c r="A1" s="20" t="str">
        <x:v>类别</x:v>
      </x:c>
      <x:c r="B1" s="21" t="str">
        <x:v>β_DSC（K/min）</x:v>
      </x:c>
      <x:c r="C1" s="21" t="str">
        <x:v>外对流模型</x:v>
      </x:c>
      <x:c r="D1" s="21" t="str">
        <x:v>t15（s）</x:v>
      </x:c>
      <x:c r="E1" s="21" t="str">
        <x:v>ISO基准t15（s）</x:v>
      </x:c>
      <x:c r="F1" s="21" t="str">
        <x:v>t15相对ISO（%）</x:v>
      </x:c>
      <x:c r="G1" s="21" t="str">
        <x:v>t10（s）</x:v>
      </x:c>
      <x:c r="H1" s="21" t="str">
        <x:v>ISO基准t10（s）</x:v>
      </x:c>
      <x:c r="I1" s="21" t="str">
        <x:v>t10相对ISO（%）</x:v>
      </x:c>
      <x:c r="J1" s="22" t="str">
        <x:v>模型层级</x:v>
      </x:c>
    </x:row>
    <x:row r="2" ht="22" customHeight="1">
      <x:c r="A2" s="27" t="str">
        <x:v>2 K/min · ISO简化</x:v>
      </x:c>
      <x:c r="B2" s="28" t="n">
        <x:v>2</x:v>
      </x:c>
      <x:c r="C2" s="27" t="str">
        <x:v>ISO 11079简化</x:v>
      </x:c>
      <x:c r="D2" s="29" t="n">
        <x:v>192.02800925434013</x:v>
      </x:c>
      <x:c r="E2" s="29" t="n">
        <x:v>192.02800925434013</x:v>
      </x:c>
      <x:c r="F2" s="30" t="n">
        <x:f>(D2/E2-1)*100</x:f>
        <x:v>0</x:v>
      </x:c>
      <x:c r="G2" s="29" t="n">
        <x:v>204.2621942219772</x:v>
      </x:c>
      <x:c r="H2" s="29" t="n">
        <x:v>204.2621942219772</x:v>
      </x:c>
      <x:c r="I2" s="30" t="n">
        <x:f>(G2/H2-1)*100</x:f>
        <x:v>0</x:v>
      </x:c>
      <x:c r="J2" s="27" t="str">
        <x:v>主模型（零基准）</x:v>
      </x:c>
    </x:row>
    <x:row r="3" ht="22" customHeight="1">
      <x:c r="A3" s="35" t="str">
        <x:v>2 K/min · 旧PMV</x:v>
      </x:c>
      <x:c r="B3" s="36" t="n">
        <x:v>2</x:v>
      </x:c>
      <x:c r="C3" s="35" t="str">
        <x:v>旧PMV关系</x:v>
      </x:c>
      <x:c r="D3" s="37" t="n">
        <x:v>171.40334538516566</x:v>
      </x:c>
      <x:c r="E3" s="37" t="n">
        <x:v>192.02800925434013</x:v>
      </x:c>
      <x:c r="F3" s="38" t="n">
        <x:f>(D3/E3-1)*100</x:f>
        <x:v>-10.74044559919236</x:v>
      </x:c>
      <x:c r="G3" s="37" t="n">
        <x:v>182.2343143506236</x:v>
      </x:c>
      <x:c r="H3" s="37" t="n">
        <x:v>204.2621942219772</x:v>
      </x:c>
      <x:c r="I3" s="38" t="n">
        <x:f>(G3/H3-1)*100</x:f>
        <x:v>-10.784119868709197</x:v>
      </x:c>
      <x:c r="J3" s="35" t="str">
        <x:v>对照</x:v>
      </x:c>
    </x:row>
    <x:row r="4" ht="22" customHeight="1">
      <x:c r="A4" s="43" t="str">
        <x:v>2 K/min · Kuwabara</x:v>
      </x:c>
      <x:c r="B4" s="44" t="n">
        <x:v>2</x:v>
      </x:c>
      <x:c r="C4" s="43" t="str">
        <x:v>Kuwabara经验</x:v>
      </x:c>
      <x:c r="D4" s="45" t="n">
        <x:v>164.57453631937474</x:v>
      </x:c>
      <x:c r="E4" s="45" t="n">
        <x:v>192.02800925434013</x:v>
      </x:c>
      <x:c r="F4" s="46" t="n">
        <x:f>(D4/E4-1)*100</x:f>
        <x:v>-14.296598210630517</x:v>
      </x:c>
      <x:c r="G4" s="45" t="n">
        <x:v>174.94580969640822</x:v>
      </x:c>
      <x:c r="H4" s="45" t="n">
        <x:v>204.2621942219772</x:v>
      </x:c>
      <x:c r="I4" s="46" t="n">
        <x:f>(G4/H4-1)*100</x:f>
        <x:v>-14.352330169189354</x:v>
      </x:c>
      <x:c r="J4" s="43" t="str">
        <x:v>对照</x:v>
      </x:c>
    </x:row>
    <x:row r="5" ht="22" customHeight="1">
      <x:c r="A5" s="27" t="str">
        <x:v>5 K/min · ISO简化</x:v>
      </x:c>
      <x:c r="B5" s="28" t="n">
        <x:v>5</x:v>
      </x:c>
      <x:c r="C5" s="27" t="str">
        <x:v>ISO 11079简化</x:v>
      </x:c>
      <x:c r="D5" s="29" t="n">
        <x:v>103.4915847342144</x:v>
      </x:c>
      <x:c r="E5" s="29" t="n">
        <x:v>103.4915847342144</x:v>
      </x:c>
      <x:c r="F5" s="30" t="n">
        <x:f>(D5/E5-1)*100</x:f>
        <x:v>0</x:v>
      </x:c>
      <x:c r="G5" s="29" t="n">
        <x:v>115.66576634720914</x:v>
      </x:c>
      <x:c r="H5" s="29" t="n">
        <x:v>115.66576634720914</x:v>
      </x:c>
      <x:c r="I5" s="30" t="n">
        <x:f>(G5/H5-1)*100</x:f>
        <x:v>0</x:v>
      </x:c>
      <x:c r="J5" s="27" t="str">
        <x:v>主模型（零基准）</x:v>
      </x:c>
    </x:row>
    <x:row r="6" ht="22" customHeight="1">
      <x:c r="A6" s="43" t="str">
        <x:v>5 K/min · 旧PMV</x:v>
      </x:c>
      <x:c r="B6" s="44" t="n">
        <x:v>5</x:v>
      </x:c>
      <x:c r="C6" s="43" t="str">
        <x:v>旧PMV关系</x:v>
      </x:c>
      <x:c r="D6" s="45" t="n">
        <x:v>92.66957382252926</x:v>
      </x:c>
      <x:c r="E6" s="45" t="n">
        <x:v>103.4915847342144</x:v>
      </x:c>
      <x:c r="F6" s="46" t="n">
        <x:f>(D6/E6-1)*100</x:f>
        <x:v>-10.456899408273701</x:v>
      </x:c>
      <x:c r="G6" s="45" t="n">
        <x:v>103.43902829605813</x:v>
      </x:c>
      <x:c r="H6" s="45" t="n">
        <x:v>115.66576634720914</x:v>
      </x:c>
      <x:c r="I6" s="46" t="n">
        <x:f>(G6/H6-1)*100</x:f>
        <x:v>-10.5707491829937</x:v>
      </x:c>
      <x:c r="J6" s="43" t="str">
        <x:v>对照</x:v>
      </x:c>
    </x:row>
    <x:row r="7" ht="22" customHeight="1">
      <x:c r="A7" s="35" t="str">
        <x:v>5 K/min · Kuwabara</x:v>
      </x:c>
      <x:c r="B7" s="36" t="n">
        <x:v>5</x:v>
      </x:c>
      <x:c r="C7" s="35" t="str">
        <x:v>Kuwabara经验</x:v>
      </x:c>
      <x:c r="D7" s="37" t="n">
        <x:v>89.08417426307342</x:v>
      </x:c>
      <x:c r="E7" s="37" t="n">
        <x:v>103.4915847342144</x:v>
      </x:c>
      <x:c r="F7" s="38" t="n">
        <x:f>(D7/E7-1)*100</x:f>
        <x:v>-13.921335254592805</x:v>
      </x:c>
      <x:c r="G7" s="37" t="n">
        <x:v>99.39347596584511</x:v>
      </x:c>
      <x:c r="H7" s="37" t="n">
        <x:v>115.66576634720914</x:v>
      </x:c>
      <x:c r="I7" s="38" t="n">
        <x:f>(G7/H7-1)*100</x:f>
        <x:v>-14.068372082122693</x:v>
      </x:c>
      <x:c r="J7" s="35" t="str">
        <x:v>对照</x:v>
      </x:c>
    </x:row>
    <x:row r="8" ht="22" customHeight="1">
      <x:c r="A8" s="27" t="str">
        <x:v>10 K/min · ISO简化</x:v>
      </x:c>
      <x:c r="B8" s="28" t="n">
        <x:v>10</x:v>
      </x:c>
      <x:c r="C8" s="27" t="str">
        <x:v>ISO 11079简化</x:v>
      </x:c>
      <x:c r="D8" s="29" t="n">
        <x:v>74.03513620319117</x:v>
      </x:c>
      <x:c r="E8" s="29" t="n">
        <x:v>74.03513620319117</x:v>
      </x:c>
      <x:c r="F8" s="30" t="n">
        <x:f>(D8/E8-1)*100</x:f>
        <x:v>0</x:v>
      </x:c>
      <x:c r="G8" s="29" t="n">
        <x:v>86.16747506666174</x:v>
      </x:c>
      <x:c r="H8" s="29" t="n">
        <x:v>86.16747506666174</x:v>
      </x:c>
      <x:c r="I8" s="30" t="n">
        <x:f>(G8/H8-1)*100</x:f>
        <x:v>0</x:v>
      </x:c>
      <x:c r="J8" s="27" t="str">
        <x:v>主模型（零基准）</x:v>
      </x:c>
    </x:row>
    <x:row r="9" ht="22" customHeight="1">
      <x:c r="A9" s="35" t="str">
        <x:v>10 K/min · 旧PMV</x:v>
      </x:c>
      <x:c r="B9" s="36" t="n">
        <x:v>10</x:v>
      </x:c>
      <x:c r="C9" s="35" t="str">
        <x:v>旧PMV关系</x:v>
      </x:c>
      <x:c r="D9" s="37" t="n">
        <x:v>66.48136409550564</x:v>
      </x:c>
      <x:c r="E9" s="37" t="n">
        <x:v>74.03513620319117</x:v>
      </x:c>
      <x:c r="F9" s="38" t="n">
        <x:f>(D9/E9-1)*100</x:f>
        <x:v>-10.20295564386351</x:v>
      </x:c>
      <x:c r="G9" s="37" t="n">
        <x:v>77.20675453382569</x:v>
      </x:c>
      <x:c r="H9" s="37" t="n">
        <x:v>86.16747506666174</x:v>
      </x:c>
      <x:c r="I9" s="38" t="n">
        <x:f>(G9/H9-1)*100</x:f>
        <x:v>-10.399191256217922</x:v>
      </x:c>
      <x:c r="J9" s="35" t="str">
        <x:v>对照</x:v>
      </x:c>
    </x:row>
    <x:row r="10" ht="22" customHeight="1">
      <x:c r="A10" s="43" t="str">
        <x:v>10 K/min · Kuwabara</x:v>
      </x:c>
      <x:c r="B10" s="44" t="n">
        <x:v>10</x:v>
      </x:c>
      <x:c r="C10" s="43" t="str">
        <x:v>Kuwabara经验</x:v>
      </x:c>
      <x:c r="D10" s="45" t="n">
        <x:v>63.97743273414523</x:v>
      </x:c>
      <x:c r="E10" s="45" t="n">
        <x:v>74.03513620319117</x:v>
      </x:c>
      <x:c r="F10" s="46" t="n">
        <x:f>(D10/E10-1)*100</x:f>
        <x:v>-13.585040812840997</x:v>
      </x:c>
      <x:c r="G10" s="45" t="n">
        <x:v>74.24189055798404</x:v>
      </x:c>
      <x:c r="H10" s="45" t="n">
        <x:v>86.16747506666174</x:v>
      </x:c>
      <x:c r="I10" s="46" t="n">
        <x:f>(G10/H10-1)*100</x:f>
        <x:v>-13.840006916126658</x:v>
      </x:c>
      <x:c r="J10" s="43" t="str">
        <x:v>对照</x:v>
      </x:c>
    </x:row>
  </x:sheetData>
  <x:pageMargins left="0.7" right="0.7" top="0.75" bottom="0.75" header="0.3" footer="0.3"/>
  <x:tableParts count="1">
    <x:tablePart xmlns:r="http://schemas.openxmlformats.org/officeDocument/2006/relationships" r:id="Ra3988515b71e4744"/>
  </x:tableParts>
</x:worksheet>
</file>