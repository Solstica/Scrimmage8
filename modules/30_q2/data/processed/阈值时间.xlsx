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f1c4d459764f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阈值时间" sheetId="1" r:id="R33524e66ce1048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"/>
  </x:numFmts>
  <x:fonts count="3">
    <x:font>
      <x:sz val="11"/>
      <x:name val="Carlito"/>
    </x:font>
    <x:font>
      <x:sz val="10"/>
      <x:color rgb="FF333333"/>
      <x:name val="Times New Roman"/>
    </x:font>
    <x:font>
      <x:b/>
      <x:sz val="10"/>
      <x:color rgb="FFFFFFFF"/>
      <x:name val="SimSun"/>
    </x:font>
  </x:fonts>
  <x:fills count="6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EAF3FF"/>
      </x:patternFill>
    </x:fill>
    <x:fill>
      <x:patternFill patternType="solid">
        <x:fgColor rgb="FFF7F7F7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38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1" fontId="1" fillId="4" borderId="0" xfId="0" applyNumberFormat="1" applyFont="1" applyFill="1" applyBorder="1" applyAlignment="1">
      <x:alignment vertical="center"/>
    </x:xf>
    <x:xf numFmtId="0" fontId="1" fillId="4" borderId="4" xfId="0" applyNumberFormat="1" applyFont="1" applyFill="1" applyBorder="1" applyAlignment="1">
      <x:alignment vertical="center"/>
    </x:xf>
    <x:xf numFmtId="200" fontId="1" fillId="4" borderId="4" xfId="0" applyNumberFormat="1" applyFont="1" applyFill="1" applyBorder="1" applyAlignment="1">
      <x:alignment vertical="center"/>
    </x:xf>
    <x:xf numFmtId="201" fontId="1" fillId="4" borderId="4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201" fontId="1" fillId="5" borderId="0" xfId="0" applyNumberFormat="1" applyFont="1" applyFill="1" applyBorder="1" applyAlignment="1">
      <x:alignment vertical="center"/>
    </x:xf>
    <x:xf numFmtId="0" fontId="1" fillId="5" borderId="4" xfId="0" applyNumberFormat="1" applyFont="1" applyFill="1" applyBorder="1" applyAlignment="1">
      <x:alignment vertical="center"/>
    </x:xf>
    <x:xf numFmtId="200" fontId="1" fillId="5" borderId="4" xfId="0" applyNumberFormat="1" applyFont="1" applyFill="1" applyBorder="1" applyAlignment="1">
      <x:alignment vertical="center"/>
    </x:xf>
    <x:xf numFmtId="201" fontId="1" fillId="5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e4d45cc7b94397" /><Relationship Type="http://schemas.openxmlformats.org/officeDocument/2006/relationships/theme" Target="/xl/theme/theme1.xml" Id="Rfefcf45c21f54b89" /><Relationship Type="http://schemas.openxmlformats.org/officeDocument/2006/relationships/sharedStrings" Target="/xl/sharedStrings.xml" Id="Raec82e71860c4112" /><Relationship Type="http://schemas.openxmlformats.org/officeDocument/2006/relationships/worksheet" Target="/xl/worksheets/sheet1.xml" Id="R33524e66ce10480a" /></Relationships>
</file>

<file path=xl/tables/table1.xml><?xml version="1.0" encoding="utf-8"?>
<x:table xmlns:x="http://schemas.openxmlformats.org/spreadsheetml/2006/main" id="1" name="ThresholdData" displayName="ThresholdData" ref="A1:H10" headerRowCount="1" totalsRowCount="0" totalsRowShown="0">
  <x:tableColumns count="8">
    <x:tableColumn id="1" name="类别"/>
    <x:tableColumn id="2" name="β_DSC（K/min）"/>
    <x:tableColumn id="3" name="外对流模型"/>
    <x:tableColumn id="4" name="h_e（W/(m²·K)）"/>
    <x:tableColumn id="5" name="t15（s）"/>
    <x:tableColumn id="6" name="t10（s）"/>
    <x:tableColumn id="7" name="阈值间隔（s）"/>
    <x:tableColumn id="8" name="模型层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cf376fcd254463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20" hidden="0" customWidth="1"/>
    <x:col min="4" max="4" width="18" hidden="0" customWidth="1"/>
    <x:col min="5" max="5" width="13" hidden="0" customWidth="1"/>
    <x:col min="6" max="6" width="13" hidden="0" customWidth="1"/>
    <x:col min="7" max="7" width="17" hidden="0" customWidth="1"/>
    <x:col min="8" max="8" width="12" hidden="0" customWidth="1"/>
  </x:cols>
  <x:sheetData>
    <x:row r="1" ht="38" customHeight="1">
      <x:c r="A1" s="17" t="str">
        <x:v>类别</x:v>
      </x:c>
      <x:c r="B1" s="18" t="str">
        <x:v>β_DSC（K/min）</x:v>
      </x:c>
      <x:c r="C1" s="18" t="str">
        <x:v>外对流模型</x:v>
      </x:c>
      <x:c r="D1" s="18" t="str">
        <x:v>h_e（W/(m²·K)）</x:v>
      </x:c>
      <x:c r="E1" s="18" t="str">
        <x:v>t15（s）</x:v>
      </x:c>
      <x:c r="F1" s="18" t="str">
        <x:v>t10（s）</x:v>
      </x:c>
      <x:c r="G1" s="18" t="str">
        <x:v>阈值间隔（s）</x:v>
      </x:c>
      <x:c r="H1" s="19" t="str">
        <x:v>模型层级</x:v>
      </x:c>
    </x:row>
    <x:row r="2" ht="22" customHeight="1">
      <x:c r="A2" s="23" t="str">
        <x:v>2 K/min · ISO简化</x:v>
      </x:c>
      <x:c r="B2" s="24" t="n">
        <x:v>2</x:v>
      </x:c>
      <x:c r="C2" s="23" t="str">
        <x:v>ISO 11079简化</x:v>
      </x:c>
      <x:c r="D2" s="25" t="n">
        <x:v>18.46</x:v>
      </x:c>
      <x:c r="E2" s="25" t="n">
        <x:v>192.02800925434013</x:v>
      </x:c>
      <x:c r="F2" s="25" t="n">
        <x:v>204.2621942219772</x:v>
      </x:c>
      <x:c r="G2" s="25" t="n">
        <x:f>F2-E2</x:f>
        <x:v>12.234184967637077</x:v>
      </x:c>
      <x:c r="H2" s="23" t="str">
        <x:v>主模型</x:v>
      </x:c>
    </x:row>
    <x:row r="3" ht="22" customHeight="1">
      <x:c r="A3" s="29" t="str">
        <x:v>2 K/min · 旧PMV</x:v>
      </x:c>
      <x:c r="B3" s="30" t="n">
        <x:v>2</x:v>
      </x:c>
      <x:c r="C3" s="29" t="str">
        <x:v>旧PMV关系</x:v>
      </x:c>
      <x:c r="D3" s="31" t="n">
        <x:v>20.957814771583415</x:v>
      </x:c>
      <x:c r="E3" s="31" t="n">
        <x:v>171.40334538516566</x:v>
      </x:c>
      <x:c r="F3" s="31" t="n">
        <x:v>182.2343143506236</x:v>
      </x:c>
      <x:c r="G3" s="31" t="n">
        <x:f>F3-E3</x:f>
        <x:v>10.830968965457942</x:v>
      </x:c>
      <x:c r="H3" s="29" t="str">
        <x:v>对照</x:v>
      </x:c>
    </x:row>
    <x:row r="4" ht="22" customHeight="1">
      <x:c r="A4" s="35" t="str">
        <x:v>2 K/min · Kuwabara</x:v>
      </x:c>
      <x:c r="B4" s="36" t="n">
        <x:v>2</x:v>
      </x:c>
      <x:c r="C4" s="35" t="str">
        <x:v>Kuwabara经验</x:v>
      </x:c>
      <x:c r="D4" s="37" t="n">
        <x:v>21.95</x:v>
      </x:c>
      <x:c r="E4" s="37" t="n">
        <x:v>164.57453631937474</x:v>
      </x:c>
      <x:c r="F4" s="37" t="n">
        <x:v>174.94580969640822</x:v>
      </x:c>
      <x:c r="G4" s="37" t="n">
        <x:f>F4-E4</x:f>
        <x:v>10.371273377033475</x:v>
      </x:c>
      <x:c r="H4" s="35" t="str">
        <x:v>对照</x:v>
      </x:c>
    </x:row>
    <x:row r="5" ht="22" customHeight="1">
      <x:c r="A5" s="23" t="str">
        <x:v>5 K/min · ISO简化</x:v>
      </x:c>
      <x:c r="B5" s="24" t="n">
        <x:v>5</x:v>
      </x:c>
      <x:c r="C5" s="23" t="str">
        <x:v>ISO 11079简化</x:v>
      </x:c>
      <x:c r="D5" s="25" t="n">
        <x:v>18.46</x:v>
      </x:c>
      <x:c r="E5" s="25" t="n">
        <x:v>103.4915847342144</x:v>
      </x:c>
      <x:c r="F5" s="25" t="n">
        <x:v>115.66576634720914</x:v>
      </x:c>
      <x:c r="G5" s="25" t="n">
        <x:f>F5-E5</x:f>
        <x:v>12.174181612994744</x:v>
      </x:c>
      <x:c r="H5" s="23" t="str">
        <x:v>主模型</x:v>
      </x:c>
    </x:row>
    <x:row r="6" ht="22" customHeight="1">
      <x:c r="A6" s="35" t="str">
        <x:v>5 K/min · 旧PMV</x:v>
      </x:c>
      <x:c r="B6" s="36" t="n">
        <x:v>5</x:v>
      </x:c>
      <x:c r="C6" s="35" t="str">
        <x:v>旧PMV关系</x:v>
      </x:c>
      <x:c r="D6" s="37" t="n">
        <x:v>20.957814771583415</x:v>
      </x:c>
      <x:c r="E6" s="37" t="n">
        <x:v>92.66957382252926</x:v>
      </x:c>
      <x:c r="F6" s="37" t="n">
        <x:v>103.43902829605813</x:v>
      </x:c>
      <x:c r="G6" s="37" t="n">
        <x:f>F6-E6</x:f>
        <x:v>10.769454473528867</x:v>
      </x:c>
      <x:c r="H6" s="35" t="str">
        <x:v>对照</x:v>
      </x:c>
    </x:row>
    <x:row r="7" ht="22" customHeight="1">
      <x:c r="A7" s="29" t="str">
        <x:v>5 K/min · Kuwabara</x:v>
      </x:c>
      <x:c r="B7" s="30" t="n">
        <x:v>5</x:v>
      </x:c>
      <x:c r="C7" s="29" t="str">
        <x:v>Kuwabara经验</x:v>
      </x:c>
      <x:c r="D7" s="31" t="n">
        <x:v>21.95</x:v>
      </x:c>
      <x:c r="E7" s="31" t="n">
        <x:v>89.08417426307342</x:v>
      </x:c>
      <x:c r="F7" s="31" t="n">
        <x:v>99.39347596584511</x:v>
      </x:c>
      <x:c r="G7" s="31" t="n">
        <x:f>F7-E7</x:f>
        <x:v>10.309301702771691</x:v>
      </x:c>
      <x:c r="H7" s="29" t="str">
        <x:v>对照</x:v>
      </x:c>
    </x:row>
    <x:row r="8" ht="22" customHeight="1">
      <x:c r="A8" s="23" t="str">
        <x:v>10 K/min · ISO简化</x:v>
      </x:c>
      <x:c r="B8" s="24" t="n">
        <x:v>10</x:v>
      </x:c>
      <x:c r="C8" s="23" t="str">
        <x:v>ISO 11079简化</x:v>
      </x:c>
      <x:c r="D8" s="25" t="n">
        <x:v>18.46</x:v>
      </x:c>
      <x:c r="E8" s="25" t="n">
        <x:v>74.03513620319117</x:v>
      </x:c>
      <x:c r="F8" s="25" t="n">
        <x:v>86.16747506666174</x:v>
      </x:c>
      <x:c r="G8" s="25" t="n">
        <x:f>F8-E8</x:f>
        <x:v>12.132338863470565</x:v>
      </x:c>
      <x:c r="H8" s="23" t="str">
        <x:v>主模型</x:v>
      </x:c>
    </x:row>
    <x:row r="9" ht="22" customHeight="1">
      <x:c r="A9" s="29" t="str">
        <x:v>10 K/min · 旧PMV</x:v>
      </x:c>
      <x:c r="B9" s="30" t="n">
        <x:v>10</x:v>
      </x:c>
      <x:c r="C9" s="29" t="str">
        <x:v>旧PMV关系</x:v>
      </x:c>
      <x:c r="D9" s="31" t="n">
        <x:v>20.957814771583415</x:v>
      </x:c>
      <x:c r="E9" s="31" t="n">
        <x:v>66.48136409550564</x:v>
      </x:c>
      <x:c r="F9" s="31" t="n">
        <x:v>77.20675453382569</x:v>
      </x:c>
      <x:c r="G9" s="31" t="n">
        <x:f>F9-E9</x:f>
        <x:v>10.725390438320048</x:v>
      </x:c>
      <x:c r="H9" s="29" t="str">
        <x:v>对照</x:v>
      </x:c>
    </x:row>
    <x:row r="10" ht="22" customHeight="1">
      <x:c r="A10" s="35" t="str">
        <x:v>10 K/min · Kuwabara</x:v>
      </x:c>
      <x:c r="B10" s="36" t="n">
        <x:v>10</x:v>
      </x:c>
      <x:c r="C10" s="35" t="str">
        <x:v>Kuwabara经验</x:v>
      </x:c>
      <x:c r="D10" s="37" t="n">
        <x:v>21.95</x:v>
      </x:c>
      <x:c r="E10" s="37" t="n">
        <x:v>63.97743273414523</x:v>
      </x:c>
      <x:c r="F10" s="37" t="n">
        <x:v>74.24189055798404</x:v>
      </x:c>
      <x:c r="G10" s="37" t="n">
        <x:f>F10-E10</x:f>
        <x:v>10.264457823838804</x:v>
      </x:c>
      <x:c r="H10" s="35" t="str">
        <x:v>对照</x:v>
      </x:c>
    </x:row>
  </x:sheetData>
  <x:pageMargins left="0.7" right="0.7" top="0.75" bottom="0.75" header="0.3" footer="0.3"/>
  <x:tableParts count="1">
    <x:tablePart xmlns:r="http://schemas.openxmlformats.org/officeDocument/2006/relationships" r:id="R0cf376fcd2544637"/>
  </x:tableParts>
</x:worksheet>
</file>